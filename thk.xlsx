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350" windowHeight="7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7"/>
  <sheetViews>
    <sheetView tabSelected="1" topLeftCell="A10" workbookViewId="0">
      <selection activeCell="E1" sqref="E1:E10"/>
    </sheetView>
  </sheetViews>
  <sheetFormatPr defaultColWidth="9" defaultRowHeight="14" outlineLevelCol="4"/>
  <cols>
    <col min="5" max="5" width="14"/>
  </cols>
  <sheetData>
    <row r="1" spans="1:5">
      <c r="A1">
        <v>5.03211032178008</v>
      </c>
      <c r="B1">
        <v>10.0995424447518</v>
      </c>
      <c r="C1">
        <v>5.22640903774331</v>
      </c>
      <c r="E1">
        <f>A1-A15</f>
        <v>0.0285662429987186</v>
      </c>
    </row>
    <row r="2" spans="1:5">
      <c r="A2">
        <v>4.98872204264319</v>
      </c>
      <c r="B2">
        <v>10.0225313452039</v>
      </c>
      <c r="C2">
        <v>4.97637829250841</v>
      </c>
      <c r="E2">
        <f t="shared" ref="E2:E10" si="0">A2-A16</f>
        <v>-0.0148220361381712</v>
      </c>
    </row>
    <row r="3" spans="1:5">
      <c r="A3">
        <v>4.9846430165427</v>
      </c>
      <c r="B3">
        <v>10.0466322400231</v>
      </c>
      <c r="C3">
        <v>5.24904687025447</v>
      </c>
      <c r="E3">
        <f t="shared" si="0"/>
        <v>-0.0189010622386618</v>
      </c>
    </row>
    <row r="4" spans="1:5">
      <c r="A4">
        <v>5.00808500872043</v>
      </c>
      <c r="B4">
        <v>10.0375573848111</v>
      </c>
      <c r="C4">
        <v>4.93839051819047</v>
      </c>
      <c r="E4">
        <f t="shared" si="0"/>
        <v>0.00454092993906841</v>
      </c>
    </row>
    <row r="5" spans="1:5">
      <c r="A5">
        <v>4.99100021434661</v>
      </c>
      <c r="B5">
        <v>10.4833996233038</v>
      </c>
      <c r="C5">
        <v>4.59593235612773</v>
      </c>
      <c r="E5">
        <f t="shared" si="0"/>
        <v>-0.0125438644347513</v>
      </c>
    </row>
    <row r="6" spans="1:5">
      <c r="A6">
        <v>4.98759929706703</v>
      </c>
      <c r="B6">
        <v>10.0581628678753</v>
      </c>
      <c r="C6">
        <v>5.73005459417564</v>
      </c>
      <c r="E6">
        <f t="shared" si="0"/>
        <v>-0.0159447817143317</v>
      </c>
    </row>
    <row r="7" spans="1:5">
      <c r="A7">
        <v>5.0069728085417</v>
      </c>
      <c r="B7">
        <v>9.97872616732867</v>
      </c>
      <c r="C7">
        <v>5.12050983407465</v>
      </c>
      <c r="E7">
        <f t="shared" si="0"/>
        <v>0.00342872976033792</v>
      </c>
    </row>
    <row r="8" spans="1:5">
      <c r="A8">
        <v>5.00357401584672</v>
      </c>
      <c r="B8">
        <v>10.5805607660064</v>
      </c>
      <c r="C8">
        <v>4.35054221462517</v>
      </c>
      <c r="E8">
        <f t="shared" si="0"/>
        <v>2.99370653582542e-5</v>
      </c>
    </row>
    <row r="9" spans="1:5">
      <c r="A9">
        <v>5.01274777754196</v>
      </c>
      <c r="B9">
        <v>10.3442805245454</v>
      </c>
      <c r="C9">
        <v>4.75904465918036</v>
      </c>
      <c r="E9">
        <f t="shared" si="0"/>
        <v>0.00920369876059812</v>
      </c>
    </row>
    <row r="10" spans="1:5">
      <c r="A10">
        <v>5.01998628478321</v>
      </c>
      <c r="B10">
        <v>9.81658085580633</v>
      </c>
      <c r="C10">
        <v>5.16473119730389</v>
      </c>
      <c r="E10">
        <f t="shared" si="0"/>
        <v>0.0164422060018481</v>
      </c>
    </row>
    <row r="12" spans="1:5">
      <c r="A12">
        <f>AVERAGEA(A1:A10)</f>
        <v>5.00354407878136</v>
      </c>
      <c r="B12">
        <f>AVERAGEA(B1:B10)</f>
        <v>10.1467974219656</v>
      </c>
      <c r="C12">
        <f>AVERAGEA(C1:C10)</f>
        <v>5.01110395741841</v>
      </c>
      <c r="E12">
        <f>E1*E1</f>
        <v>0.000816030239061838</v>
      </c>
    </row>
    <row r="13" spans="2:5">
      <c r="B13">
        <f>A12+B12</f>
        <v>15.1503415007469</v>
      </c>
      <c r="E13">
        <f t="shared" ref="E13:E23" si="1">E2*E2</f>
        <v>0.000219692755281254</v>
      </c>
    </row>
    <row r="14" spans="3:5">
      <c r="C14">
        <f>B13+C12</f>
        <v>20.1614454581654</v>
      </c>
      <c r="E14">
        <f t="shared" si="1"/>
        <v>0.000357250153749768</v>
      </c>
    </row>
    <row r="15" spans="1:5">
      <c r="A15">
        <v>5.00354407878136</v>
      </c>
      <c r="B15">
        <v>10.1467974219656</v>
      </c>
      <c r="C15">
        <v>5.01110395741841</v>
      </c>
      <c r="E15">
        <f t="shared" si="1"/>
        <v>2.06200447115278e-5</v>
      </c>
    </row>
    <row r="16" spans="1:5">
      <c r="A16">
        <v>5.00354407878136</v>
      </c>
      <c r="B16">
        <v>10.1467974219656</v>
      </c>
      <c r="C16">
        <v>5.01110395741841</v>
      </c>
      <c r="E16">
        <f t="shared" si="1"/>
        <v>0.000157348534957419</v>
      </c>
    </row>
    <row r="17" spans="1:5">
      <c r="A17">
        <v>5.00354407878136</v>
      </c>
      <c r="B17">
        <v>10.1467974219656</v>
      </c>
      <c r="C17">
        <v>5.01110395741841</v>
      </c>
      <c r="E17">
        <f t="shared" si="1"/>
        <v>0.000254236063917686</v>
      </c>
    </row>
    <row r="18" spans="1:5">
      <c r="A18">
        <v>5.00354407878136</v>
      </c>
      <c r="B18">
        <v>10.1467974219656</v>
      </c>
      <c r="C18">
        <v>5.01110395741841</v>
      </c>
      <c r="E18">
        <f t="shared" si="1"/>
        <v>1.1756187769427e-5</v>
      </c>
    </row>
    <row r="19" spans="1:5">
      <c r="A19">
        <v>5.00354407878136</v>
      </c>
      <c r="B19">
        <v>10.1467974219656</v>
      </c>
      <c r="C19">
        <v>5.01110395741841</v>
      </c>
      <c r="E19">
        <f t="shared" si="1"/>
        <v>8.96227882264386e-10</v>
      </c>
    </row>
    <row r="20" spans="1:5">
      <c r="A20">
        <v>5.00354407878136</v>
      </c>
      <c r="B20">
        <v>10.1467974219656</v>
      </c>
      <c r="C20">
        <v>5.01110395741841</v>
      </c>
      <c r="E20">
        <f t="shared" si="1"/>
        <v>8.47080708758354e-5</v>
      </c>
    </row>
    <row r="21" spans="1:5">
      <c r="A21">
        <v>5.00354407878136</v>
      </c>
      <c r="B21">
        <v>10.1467974219656</v>
      </c>
      <c r="C21">
        <v>5.01110395741841</v>
      </c>
      <c r="E21">
        <f t="shared" si="1"/>
        <v>0.000270346138207209</v>
      </c>
    </row>
    <row r="22" spans="1:3">
      <c r="A22">
        <v>5.00354407878136</v>
      </c>
      <c r="B22">
        <v>10.1467974219656</v>
      </c>
      <c r="C22">
        <v>5.01110395741841</v>
      </c>
    </row>
    <row r="23" spans="1:3">
      <c r="A23">
        <v>5.00354407878136</v>
      </c>
      <c r="B23">
        <v>10.1467974219656</v>
      </c>
      <c r="C23">
        <v>5.01110395741841</v>
      </c>
    </row>
    <row r="24" spans="1:5">
      <c r="A24">
        <v>5.00354407878136</v>
      </c>
      <c r="B24">
        <v>10.1467974219656</v>
      </c>
      <c r="C24">
        <v>5.01110395741841</v>
      </c>
      <c r="E24">
        <f>SUM(E12:E21)/10</f>
        <v>0.000219198908475985</v>
      </c>
    </row>
    <row r="25" spans="5:5">
      <c r="E25">
        <f>SQRT(E24)</f>
        <v>0.014805367556261</v>
      </c>
    </row>
    <row r="26" spans="1:3">
      <c r="A26">
        <v>5</v>
      </c>
      <c r="B26">
        <v>10</v>
      </c>
      <c r="C26">
        <v>5</v>
      </c>
    </row>
    <row r="27" spans="1:3">
      <c r="A27">
        <f>(A24-A26)/A26*100</f>
        <v>0.070881575627233</v>
      </c>
      <c r="B27">
        <f>(B24-B26)/B26*100</f>
        <v>1.4679742196558</v>
      </c>
      <c r="C27">
        <f t="shared" ref="B27:C27" si="2">(C24-C26)/C26*100</f>
        <v>0.222079148368213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邴纪晓</cp:lastModifiedBy>
  <dcterms:created xsi:type="dcterms:W3CDTF">2025-03-20T01:37:00Z</dcterms:created>
  <dcterms:modified xsi:type="dcterms:W3CDTF">2025-04-21T13:51:06Z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F519F9CF6E4C434485DCC8C510F1FD56_11</vt:lpwstr>
  </property>
  <property fmtid="{D5CDD505-2E9C-101B-9397-08002B2CF9AE}" pid="3" name="KSOProductBuildVer">
    <vt:lpwstr>2052-12.1.0.16729</vt:lpwstr>
  </property>
</Properties>
</file>